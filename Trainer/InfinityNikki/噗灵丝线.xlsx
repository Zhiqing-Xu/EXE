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siu\Desktop\"/>
    </mc:Choice>
  </mc:AlternateContent>
  <xr:revisionPtr revIDLastSave="0" documentId="13_ncr:1_{664CCFE1-8D19-4506-9E77-01F454D2489D}" xr6:coauthVersionLast="47" xr6:coauthVersionMax="47" xr10:uidLastSave="{00000000-0000-0000-0000-000000000000}"/>
  <bookViews>
    <workbookView xWindow="38280" yWindow="-7320" windowWidth="18240" windowHeight="28320" xr2:uid="{0FC3F29A-F56D-4288-A4FE-A3C449607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2" i="1"/>
  <c r="E31" i="1"/>
  <c r="E33" i="1"/>
  <c r="E9" i="1"/>
  <c r="E7" i="1"/>
  <c r="E30" i="1"/>
  <c r="E29" i="1"/>
  <c r="E28" i="1"/>
  <c r="E37" i="1"/>
  <c r="B36" i="1"/>
  <c r="E36" i="1" s="1"/>
  <c r="E27" i="1"/>
  <c r="E26" i="1"/>
  <c r="D44" i="1" a="1"/>
  <c r="D44" i="1" s="1"/>
  <c r="C44" i="1" a="1"/>
  <c r="C44" i="1" s="1"/>
  <c r="B44" i="1" a="1"/>
  <c r="B44" i="1" s="1"/>
  <c r="D43" i="1"/>
  <c r="C43" i="1"/>
  <c r="E19" i="1"/>
  <c r="E20" i="1"/>
  <c r="E18" i="1"/>
  <c r="E17" i="1"/>
  <c r="E24" i="1"/>
  <c r="E23" i="1"/>
  <c r="E22" i="1"/>
  <c r="E21" i="1"/>
  <c r="E25" i="1"/>
  <c r="E15" i="1"/>
  <c r="E14" i="1"/>
  <c r="E13" i="1"/>
  <c r="E11" i="1"/>
  <c r="E12" i="1"/>
  <c r="E10" i="1"/>
  <c r="E8" i="1"/>
  <c r="E5" i="1"/>
  <c r="E3" i="1"/>
  <c r="E2" i="1"/>
  <c r="E6" i="1"/>
  <c r="B43" i="1" l="1"/>
  <c r="E43" i="1" s="1"/>
  <c r="E4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<sst xmlns="http://schemas.openxmlformats.org/spreadsheetml/2006/main" count="78" uniqueCount="78">
  <si>
    <t>花愿05</t>
    <phoneticPr fontId="1" type="noConversion"/>
  </si>
  <si>
    <t>噗灵总</t>
    <phoneticPr fontId="1" type="noConversion"/>
  </si>
  <si>
    <t>丝线总</t>
    <phoneticPr fontId="1" type="noConversion"/>
  </si>
  <si>
    <t>时间总</t>
    <phoneticPr fontId="1" type="noConversion"/>
  </si>
  <si>
    <t>效率总</t>
    <phoneticPr fontId="1" type="noConversion"/>
  </si>
  <si>
    <t>备注</t>
    <phoneticPr fontId="1" type="noConversion"/>
  </si>
  <si>
    <t>花愿01</t>
    <phoneticPr fontId="1" type="noConversion"/>
  </si>
  <si>
    <t>花愿02</t>
  </si>
  <si>
    <t>花愿03</t>
  </si>
  <si>
    <t>花愿04</t>
  </si>
  <si>
    <t>微风01</t>
  </si>
  <si>
    <t>微风02</t>
    <phoneticPr fontId="1" type="noConversion"/>
  </si>
  <si>
    <t>选择</t>
    <phoneticPr fontId="1" type="noConversion"/>
  </si>
  <si>
    <t>微风03</t>
  </si>
  <si>
    <t>麦浪</t>
    <phoneticPr fontId="1" type="noConversion"/>
  </si>
  <si>
    <t>星空</t>
    <phoneticPr fontId="1" type="noConversion"/>
  </si>
  <si>
    <t>丰饶</t>
    <phoneticPr fontId="1" type="noConversion"/>
  </si>
  <si>
    <t>石冠1</t>
    <phoneticPr fontId="1" type="noConversion"/>
  </si>
  <si>
    <t>石冠2</t>
    <phoneticPr fontId="1" type="noConversion"/>
  </si>
  <si>
    <t>石冠3</t>
  </si>
  <si>
    <t>登顶1</t>
    <phoneticPr fontId="1" type="noConversion"/>
  </si>
  <si>
    <t>登顶2</t>
  </si>
  <si>
    <t>呜呜1</t>
    <phoneticPr fontId="1" type="noConversion"/>
  </si>
  <si>
    <t>花焰01</t>
    <phoneticPr fontId="1" type="noConversion"/>
  </si>
  <si>
    <t>花焰02</t>
  </si>
  <si>
    <t>花焰03</t>
  </si>
  <si>
    <t>花焰04</t>
  </si>
  <si>
    <t>花焰05</t>
  </si>
  <si>
    <t>纪念00</t>
    <phoneticPr fontId="1" type="noConversion"/>
  </si>
  <si>
    <t>祈愿04</t>
    <phoneticPr fontId="1" type="noConversion"/>
  </si>
  <si>
    <t>祈愿03</t>
  </si>
  <si>
    <t>祈愿01</t>
    <phoneticPr fontId="1" type="noConversion"/>
  </si>
  <si>
    <t>祈愿02</t>
  </si>
  <si>
    <t>祈愿05</t>
  </si>
  <si>
    <t>雾之顶01</t>
    <phoneticPr fontId="1" type="noConversion"/>
  </si>
  <si>
    <t>雾之顶02</t>
    <phoneticPr fontId="1" type="noConversion"/>
  </si>
  <si>
    <t>涟漪2</t>
    <phoneticPr fontId="1" type="noConversion"/>
  </si>
  <si>
    <t>涟漪1</t>
    <phoneticPr fontId="1" type="noConversion"/>
  </si>
  <si>
    <t>雾之顶洞窟</t>
    <phoneticPr fontId="1" type="noConversion"/>
  </si>
  <si>
    <t>雾之顶周围</t>
    <phoneticPr fontId="1" type="noConversion"/>
  </si>
  <si>
    <t>花焰瞭望角+聆风洞窟</t>
    <phoneticPr fontId="1" type="noConversion"/>
  </si>
  <si>
    <t>聆风高地山腰+瀑布洞窟</t>
    <phoneticPr fontId="1" type="noConversion"/>
  </si>
  <si>
    <t>聆风高地山腰+山后洞窟</t>
    <phoneticPr fontId="1" type="noConversion"/>
  </si>
  <si>
    <t>幽暗洞窟前+幽暗洞窟</t>
    <phoneticPr fontId="1" type="noConversion"/>
  </si>
  <si>
    <t>聆风高地山麓下方</t>
    <phoneticPr fontId="1" type="noConversion"/>
  </si>
  <si>
    <t>微风04</t>
    <phoneticPr fontId="1" type="noConversion"/>
  </si>
  <si>
    <t>微风05</t>
    <phoneticPr fontId="1" type="noConversion"/>
  </si>
  <si>
    <t>小村01</t>
    <phoneticPr fontId="1" type="noConversion"/>
  </si>
  <si>
    <t>心愿许可右</t>
    <phoneticPr fontId="1" type="noConversion"/>
  </si>
  <si>
    <t>织裙街右</t>
    <phoneticPr fontId="1" type="noConversion"/>
  </si>
  <si>
    <t>纪念公园右</t>
    <phoneticPr fontId="1" type="noConversion"/>
  </si>
  <si>
    <t>秘密基地右</t>
    <phoneticPr fontId="1" type="noConversion"/>
  </si>
  <si>
    <t>愿望仓库上</t>
    <phoneticPr fontId="1" type="noConversion"/>
  </si>
  <si>
    <t>搭配协会右</t>
    <phoneticPr fontId="1" type="noConversion"/>
  </si>
  <si>
    <t>遗迹山坡下</t>
    <phoneticPr fontId="1" type="noConversion"/>
  </si>
  <si>
    <t>西侧树林周围</t>
    <phoneticPr fontId="1" type="noConversion"/>
  </si>
  <si>
    <t>疯愿营地左</t>
    <phoneticPr fontId="1" type="noConversion"/>
  </si>
  <si>
    <t>遗迹高塔右</t>
    <phoneticPr fontId="1" type="noConversion"/>
  </si>
  <si>
    <t>遗迹高塔左</t>
    <phoneticPr fontId="1" type="noConversion"/>
  </si>
  <si>
    <t>滑翔石树右</t>
    <phoneticPr fontId="1" type="noConversion"/>
  </si>
  <si>
    <t>呜呜2</t>
    <phoneticPr fontId="1" type="noConversion"/>
  </si>
  <si>
    <t>呜呜车站噗灵</t>
    <phoneticPr fontId="1" type="noConversion"/>
  </si>
  <si>
    <t>呜呜车站洞窟</t>
    <phoneticPr fontId="1" type="noConversion"/>
  </si>
  <si>
    <t>登顶道弹跳菇</t>
    <phoneticPr fontId="1" type="noConversion"/>
  </si>
  <si>
    <t>登顶道绳索桥</t>
    <phoneticPr fontId="1" type="noConversion"/>
  </si>
  <si>
    <t>石碑地</t>
    <phoneticPr fontId="1" type="noConversion"/>
  </si>
  <si>
    <t>志愿兵团洞窟</t>
    <phoneticPr fontId="1" type="noConversion"/>
  </si>
  <si>
    <t>石冠入口下</t>
    <phoneticPr fontId="1" type="noConversion"/>
  </si>
  <si>
    <t>志愿兵团监狱</t>
    <phoneticPr fontId="1" type="noConversion"/>
  </si>
  <si>
    <t>星空钓场</t>
    <phoneticPr fontId="1" type="noConversion"/>
  </si>
  <si>
    <t>庄园路边洞窟</t>
    <phoneticPr fontId="1" type="noConversion"/>
  </si>
  <si>
    <t>庄园崖壁洞窟</t>
    <phoneticPr fontId="1" type="noConversion"/>
  </si>
  <si>
    <t>麦浪石树顶</t>
    <phoneticPr fontId="1" type="noConversion"/>
  </si>
  <si>
    <t>质检中心右</t>
    <phoneticPr fontId="1" type="noConversion"/>
  </si>
  <si>
    <t>花谷尽头洞窟</t>
    <phoneticPr fontId="1" type="noConversion"/>
  </si>
  <si>
    <t>所有路线：</t>
    <phoneticPr fontId="1" type="noConversion"/>
  </si>
  <si>
    <t>已选路线：</t>
    <phoneticPr fontId="1" type="noConversion"/>
  </si>
  <si>
    <t>噗灵怪数量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</si>
</sst>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_);[Red]\(0.000\)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7" fontId="2" fillId="7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0" fontId="2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77" fontId="2" fillId="8" borderId="2" xfId="0" applyNumberFormat="1" applyFont="1" applyFill="1" applyBorder="1" applyAlignment="1">
      <alignment horizontal="center" vertical="center"/>
    </xf>
    <xf numFmtId="177" fontId="2" fillId="6" borderId="2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7" fontId="3" fillId="2" borderId="6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2" xfId="0" applyFill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8" borderId="2" xfId="0" applyFill="1" applyBorder="1">
      <alignment vertical="center"/>
    </xf>
    <xf numFmtId="0" fontId="0" fillId="8" borderId="2" xfId="0" applyFill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7" xfId="0" applyFill="1" applyBorder="1">
      <alignment vertical="center"/>
    </xf>
    <xf numFmtId="0" fontId="0" fillId="2" borderId="7" xfId="0" applyFill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5" borderId="3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2" xfId="0" applyFill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9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77" fontId="2" fillId="9" borderId="2" xfId="0" applyNumberFormat="1" applyFont="1" applyFill="1" applyBorder="1" applyAlignment="1">
      <alignment horizontal="center" vertical="center"/>
    </xf>
    <xf numFmtId="0" fontId="0" fillId="9" borderId="2" xfId="0" applyFill="1" applyBorder="1">
      <alignment vertical="center"/>
    </xf>
    <xf numFmtId="0" fontId="0" fillId="9" borderId="2" xfId="0" applyFill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7" fontId="6" fillId="4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7" fontId="4" fillId="4" borderId="2" xfId="0" applyNumberFormat="1" applyFont="1" applyFill="1" applyBorder="1" applyAlignment="1">
      <alignment horizontal="center" vertical="center"/>
    </xf>
    <xf numFmtId="0" fontId="4" fillId="4" borderId="2" xfId="0" applyFont="1" applyFill="1" applyBorder="1">
      <alignment vertical="center"/>
    </xf>
    <xf numFmtId="0" fontId="4" fillId="4" borderId="2" xfId="0" applyFont="1" applyFill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7" fontId="3" fillId="4" borderId="2" xfId="0" applyNumberFormat="1" applyFont="1" applyFill="1" applyBorder="1" applyAlignment="1">
      <alignment horizontal="center" vertical="center"/>
    </xf>
    <xf numFmtId="0" fontId="0" fillId="7" borderId="2" xfId="0" applyFill="1" applyBorder="1">
      <alignment vertical="center"/>
    </xf>
    <xf numFmtId="0" fontId="0" fillId="7" borderId="2" xfId="0" applyFill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7" fontId="0" fillId="3" borderId="2" xfId="0" applyNumberFormat="1" applyFill="1" applyBorder="1" applyAlignment="1">
      <alignment horizontal="center" vertical="center"/>
    </xf>
    <xf numFmtId="0" fontId="0" fillId="6" borderId="2" xfId="0" applyFill="1" applyBorder="1">
      <alignment vertical="center"/>
    </xf>
    <xf numFmtId="0" fontId="0" fillId="6" borderId="2" xfId="0" applyFill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7" fontId="6" fillId="2" borderId="2" xfId="0" applyNumberFormat="1" applyFont="1" applyFill="1" applyBorder="1" applyAlignment="1">
      <alignment horizontal="center" vertical="center"/>
    </xf>
    <xf numFmtId="177" fontId="6" fillId="6" borderId="2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177" fontId="5" fillId="7" borderId="2" xfId="0" applyNumberFormat="1" applyFont="1" applyFill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176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176" fontId="2" fillId="0" borderId="14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CCFF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94D5-6B74-4DE1-BBEB-C30FBFCA8730}">
  <dimension ref="A1:H44"/>
  <sheetViews>
    <sheetView tabSelected="1" zoomScale="170" zoomScaleNormal="170" workbookViewId="0">
      <selection activeCell="B23" sqref="B23"/>
    </sheetView>
  </sheetViews>
  <sheetFormatPr defaultRowHeight="14.25" x14ac:dyDescent="0.2"/>
  <cols>
    <col min="1" max="1" width="9.125" bestFit="1" customWidth="1"/>
    <col min="2" max="4" width="7.125" bestFit="1" customWidth="1"/>
    <col min="5" max="5" width="8" customWidth="1"/>
    <col min="6" max="6" width="22.75" bestFit="1" customWidth="1"/>
    <col min="8" max="8" width="11" bestFit="1" customWidth="1"/>
  </cols>
  <sheetData>
    <row r="1" spans="1:8" ht="15" thickBot="1" x14ac:dyDescent="0.25">
      <c r="A1" s="33"/>
      <c r="B1" s="3" t="s">
        <v>1</v>
      </c>
      <c r="C1" s="3" t="s">
        <v>2</v>
      </c>
      <c r="D1" s="4" t="s">
        <v>3</v>
      </c>
      <c r="E1" s="5" t="s">
        <v>4</v>
      </c>
      <c r="F1" s="34" t="s">
        <v>5</v>
      </c>
      <c r="G1" s="5" t="s">
        <v>12</v>
      </c>
      <c r="H1" s="34" t="s">
        <v>77</v>
      </c>
    </row>
    <row r="2" spans="1:8" x14ac:dyDescent="0.2">
      <c r="A2" s="22" t="s">
        <v>6</v>
      </c>
      <c r="B2" s="23">
        <v>57</v>
      </c>
      <c r="C2" s="23">
        <v>26</v>
      </c>
      <c r="D2" s="23">
        <v>101</v>
      </c>
      <c r="E2" s="24">
        <f t="shared" ref="E2:E32" si="0">(B2+C2)/D2</f>
        <v>0.82178217821782173</v>
      </c>
      <c r="F2" s="31" t="s">
        <v>52</v>
      </c>
      <c r="G2" s="32" t="b">
        <v>1</v>
      </c>
      <c r="H2" s="64">
        <v>1</v>
      </c>
    </row>
    <row r="3" spans="1:8" x14ac:dyDescent="0.2">
      <c r="A3" s="6" t="s">
        <v>7</v>
      </c>
      <c r="B3" s="1">
        <v>104</v>
      </c>
      <c r="C3" s="1">
        <v>26</v>
      </c>
      <c r="D3" s="1">
        <v>176</v>
      </c>
      <c r="E3" s="25">
        <f t="shared" si="0"/>
        <v>0.73863636363636365</v>
      </c>
      <c r="F3" s="26" t="s">
        <v>51</v>
      </c>
      <c r="G3" s="27" t="b">
        <v>1</v>
      </c>
      <c r="H3" s="14">
        <v>3</v>
      </c>
    </row>
    <row r="4" spans="1:8" x14ac:dyDescent="0.2">
      <c r="A4" s="6" t="s">
        <v>8</v>
      </c>
      <c r="B4" s="1">
        <v>23</v>
      </c>
      <c r="C4" s="1">
        <v>17</v>
      </c>
      <c r="D4" s="1">
        <v>74</v>
      </c>
      <c r="E4" s="54">
        <f>(B4+C4)/D4</f>
        <v>0.54054054054054057</v>
      </c>
      <c r="F4" s="26" t="s">
        <v>49</v>
      </c>
      <c r="G4" s="27" t="b">
        <v>0</v>
      </c>
      <c r="H4" s="14">
        <v>0</v>
      </c>
    </row>
    <row r="5" spans="1:8" x14ac:dyDescent="0.2">
      <c r="A5" s="6" t="s">
        <v>9</v>
      </c>
      <c r="B5" s="1">
        <v>30</v>
      </c>
      <c r="C5" s="1">
        <v>16</v>
      </c>
      <c r="D5" s="1">
        <v>56</v>
      </c>
      <c r="E5" s="25">
        <f t="shared" si="0"/>
        <v>0.8214285714285714</v>
      </c>
      <c r="F5" s="26" t="s">
        <v>48</v>
      </c>
      <c r="G5" s="27" t="b">
        <v>1</v>
      </c>
      <c r="H5" s="14">
        <v>0</v>
      </c>
    </row>
    <row r="6" spans="1:8" x14ac:dyDescent="0.2">
      <c r="A6" s="6" t="s">
        <v>0</v>
      </c>
      <c r="B6" s="1">
        <v>67</v>
      </c>
      <c r="C6" s="1">
        <v>0</v>
      </c>
      <c r="D6" s="1">
        <v>109</v>
      </c>
      <c r="E6" s="54">
        <f t="shared" si="0"/>
        <v>0.61467889908256879</v>
      </c>
      <c r="F6" s="26" t="s">
        <v>53</v>
      </c>
      <c r="G6" s="27" t="b">
        <v>1</v>
      </c>
      <c r="H6" s="14">
        <v>0</v>
      </c>
    </row>
    <row r="7" spans="1:8" x14ac:dyDescent="0.2">
      <c r="A7" s="18" t="s">
        <v>28</v>
      </c>
      <c r="B7" s="19">
        <v>37</v>
      </c>
      <c r="C7" s="19">
        <v>30</v>
      </c>
      <c r="D7" s="19">
        <v>79</v>
      </c>
      <c r="E7" s="20">
        <f t="shared" si="0"/>
        <v>0.84810126582278478</v>
      </c>
      <c r="F7" s="28" t="s">
        <v>50</v>
      </c>
      <c r="G7" s="29" t="b">
        <v>1</v>
      </c>
      <c r="H7" s="14">
        <v>0</v>
      </c>
    </row>
    <row r="8" spans="1:8" x14ac:dyDescent="0.2">
      <c r="A8" s="7" t="s">
        <v>10</v>
      </c>
      <c r="B8" s="2">
        <v>21</v>
      </c>
      <c r="C8" s="2">
        <v>19</v>
      </c>
      <c r="D8" s="2">
        <v>55</v>
      </c>
      <c r="E8" s="8">
        <f t="shared" si="0"/>
        <v>0.72727272727272729</v>
      </c>
      <c r="F8" s="35" t="s">
        <v>54</v>
      </c>
      <c r="G8" s="36" t="b">
        <v>1</v>
      </c>
      <c r="H8" s="14">
        <v>0</v>
      </c>
    </row>
    <row r="9" spans="1:8" x14ac:dyDescent="0.2">
      <c r="A9" s="7" t="s">
        <v>11</v>
      </c>
      <c r="B9" s="2">
        <v>39</v>
      </c>
      <c r="C9" s="2">
        <v>39</v>
      </c>
      <c r="D9" s="2">
        <v>133</v>
      </c>
      <c r="E9" s="56">
        <f t="shared" si="0"/>
        <v>0.5864661654135338</v>
      </c>
      <c r="F9" s="35" t="s">
        <v>55</v>
      </c>
      <c r="G9" s="36" t="b">
        <v>1</v>
      </c>
      <c r="H9" s="14">
        <v>0</v>
      </c>
    </row>
    <row r="10" spans="1:8" x14ac:dyDescent="0.2">
      <c r="A10" s="7" t="s">
        <v>13</v>
      </c>
      <c r="B10" s="2">
        <v>43</v>
      </c>
      <c r="C10" s="2">
        <v>26</v>
      </c>
      <c r="D10" s="2">
        <v>82</v>
      </c>
      <c r="E10" s="8">
        <f t="shared" si="0"/>
        <v>0.84146341463414631</v>
      </c>
      <c r="F10" s="35" t="s">
        <v>56</v>
      </c>
      <c r="G10" s="36" t="b">
        <v>1</v>
      </c>
      <c r="H10" s="14">
        <v>0</v>
      </c>
    </row>
    <row r="11" spans="1:8" x14ac:dyDescent="0.2">
      <c r="A11" s="7" t="s">
        <v>45</v>
      </c>
      <c r="B11" s="2">
        <v>54</v>
      </c>
      <c r="C11" s="2">
        <v>39</v>
      </c>
      <c r="D11" s="2">
        <v>130</v>
      </c>
      <c r="E11" s="8">
        <f>(B11+C11)/D11</f>
        <v>0.7153846153846154</v>
      </c>
      <c r="F11" s="35" t="s">
        <v>57</v>
      </c>
      <c r="G11" s="36" t="b">
        <v>1</v>
      </c>
      <c r="H11" s="14">
        <v>0</v>
      </c>
    </row>
    <row r="12" spans="1:8" x14ac:dyDescent="0.2">
      <c r="A12" s="7" t="s">
        <v>46</v>
      </c>
      <c r="B12" s="2">
        <v>38</v>
      </c>
      <c r="C12" s="2">
        <v>12</v>
      </c>
      <c r="D12" s="2">
        <v>53</v>
      </c>
      <c r="E12" s="8">
        <f t="shared" si="0"/>
        <v>0.94339622641509435</v>
      </c>
      <c r="F12" s="35" t="s">
        <v>58</v>
      </c>
      <c r="G12" s="36" t="b">
        <v>1</v>
      </c>
      <c r="H12" s="14">
        <v>0</v>
      </c>
    </row>
    <row r="13" spans="1:8" x14ac:dyDescent="0.2">
      <c r="A13" s="37" t="s">
        <v>47</v>
      </c>
      <c r="B13" s="38">
        <v>129</v>
      </c>
      <c r="C13" s="38">
        <v>49</v>
      </c>
      <c r="D13" s="38">
        <v>227</v>
      </c>
      <c r="E13" s="39">
        <f t="shared" si="0"/>
        <v>0.78414096916299558</v>
      </c>
      <c r="F13" s="40" t="s">
        <v>59</v>
      </c>
      <c r="G13" s="41" t="b">
        <v>1</v>
      </c>
      <c r="H13" s="14">
        <v>3</v>
      </c>
    </row>
    <row r="14" spans="1:8" x14ac:dyDescent="0.2">
      <c r="A14" s="43" t="s">
        <v>14</v>
      </c>
      <c r="B14" s="44">
        <v>44</v>
      </c>
      <c r="C14" s="44">
        <v>0</v>
      </c>
      <c r="D14" s="44">
        <v>66</v>
      </c>
      <c r="E14" s="42">
        <f t="shared" si="0"/>
        <v>0.66666666666666663</v>
      </c>
      <c r="F14" s="46" t="s">
        <v>72</v>
      </c>
      <c r="G14" s="47" t="b">
        <v>1</v>
      </c>
      <c r="H14" s="14">
        <v>1</v>
      </c>
    </row>
    <row r="15" spans="1:8" x14ac:dyDescent="0.2">
      <c r="A15" s="43" t="s">
        <v>37</v>
      </c>
      <c r="B15" s="44">
        <v>81</v>
      </c>
      <c r="C15" s="44">
        <v>47</v>
      </c>
      <c r="D15" s="44">
        <v>172</v>
      </c>
      <c r="E15" s="48">
        <f t="shared" si="0"/>
        <v>0.7441860465116279</v>
      </c>
      <c r="F15" s="46" t="s">
        <v>70</v>
      </c>
      <c r="G15" s="47" t="b">
        <v>1</v>
      </c>
      <c r="H15" s="14">
        <v>1</v>
      </c>
    </row>
    <row r="16" spans="1:8" x14ac:dyDescent="0.2">
      <c r="A16" s="43" t="s">
        <v>36</v>
      </c>
      <c r="B16" s="44"/>
      <c r="C16" s="44"/>
      <c r="D16" s="44"/>
      <c r="E16" s="45"/>
      <c r="F16" s="46" t="s">
        <v>71</v>
      </c>
      <c r="G16" s="47" t="b">
        <v>0</v>
      </c>
      <c r="H16" s="14">
        <v>0</v>
      </c>
    </row>
    <row r="17" spans="1:8" x14ac:dyDescent="0.2">
      <c r="A17" s="43" t="s">
        <v>20</v>
      </c>
      <c r="B17" s="44">
        <v>47</v>
      </c>
      <c r="C17" s="44">
        <v>0</v>
      </c>
      <c r="D17" s="44">
        <v>69</v>
      </c>
      <c r="E17" s="48">
        <f t="shared" ref="E17:E24" si="1">(B17+C17)/D17</f>
        <v>0.6811594202898551</v>
      </c>
      <c r="F17" s="46" t="s">
        <v>63</v>
      </c>
      <c r="G17" s="47" t="b">
        <v>1</v>
      </c>
      <c r="H17" s="14">
        <v>0</v>
      </c>
    </row>
    <row r="18" spans="1:8" x14ac:dyDescent="0.2">
      <c r="A18" s="43" t="s">
        <v>21</v>
      </c>
      <c r="B18" s="44">
        <v>25</v>
      </c>
      <c r="C18" s="44">
        <v>0</v>
      </c>
      <c r="D18" s="44">
        <v>39</v>
      </c>
      <c r="E18" s="42">
        <f t="shared" si="1"/>
        <v>0.64102564102564108</v>
      </c>
      <c r="F18" s="46" t="s">
        <v>64</v>
      </c>
      <c r="G18" s="47" t="b">
        <v>1</v>
      </c>
      <c r="H18" s="14">
        <v>0</v>
      </c>
    </row>
    <row r="19" spans="1:8" x14ac:dyDescent="0.2">
      <c r="A19" s="43" t="s">
        <v>22</v>
      </c>
      <c r="B19" s="44">
        <v>60</v>
      </c>
      <c r="C19" s="44">
        <v>48</v>
      </c>
      <c r="D19" s="44">
        <v>177</v>
      </c>
      <c r="E19" s="42">
        <f t="shared" si="1"/>
        <v>0.61016949152542377</v>
      </c>
      <c r="F19" s="46" t="s">
        <v>62</v>
      </c>
      <c r="G19" s="47" t="b">
        <v>0</v>
      </c>
      <c r="H19" s="14">
        <v>0</v>
      </c>
    </row>
    <row r="20" spans="1:8" x14ac:dyDescent="0.2">
      <c r="A20" s="43" t="s">
        <v>60</v>
      </c>
      <c r="B20" s="44">
        <v>65</v>
      </c>
      <c r="C20" s="44">
        <v>0</v>
      </c>
      <c r="D20" s="44">
        <v>83</v>
      </c>
      <c r="E20" s="48">
        <f t="shared" si="1"/>
        <v>0.7831325301204819</v>
      </c>
      <c r="F20" s="46" t="s">
        <v>61</v>
      </c>
      <c r="G20" s="47" t="b">
        <v>1</v>
      </c>
      <c r="H20" s="14">
        <v>1</v>
      </c>
    </row>
    <row r="21" spans="1:8" x14ac:dyDescent="0.2">
      <c r="A21" s="43" t="s">
        <v>16</v>
      </c>
      <c r="B21" s="44">
        <v>35</v>
      </c>
      <c r="C21" s="44">
        <v>10</v>
      </c>
      <c r="D21" s="44">
        <v>84</v>
      </c>
      <c r="E21" s="42">
        <f t="shared" si="1"/>
        <v>0.5357142857142857</v>
      </c>
      <c r="F21" s="46" t="s">
        <v>65</v>
      </c>
      <c r="G21" s="47" t="b">
        <v>0</v>
      </c>
      <c r="H21" s="14">
        <v>0</v>
      </c>
    </row>
    <row r="22" spans="1:8" x14ac:dyDescent="0.2">
      <c r="A22" s="43" t="s">
        <v>17</v>
      </c>
      <c r="B22" s="44">
        <v>54</v>
      </c>
      <c r="C22" s="44">
        <v>9</v>
      </c>
      <c r="D22" s="44">
        <v>89</v>
      </c>
      <c r="E22" s="48">
        <f t="shared" si="1"/>
        <v>0.7078651685393258</v>
      </c>
      <c r="F22" s="46" t="s">
        <v>67</v>
      </c>
      <c r="G22" s="47" t="b">
        <v>1</v>
      </c>
      <c r="H22" s="14">
        <v>1</v>
      </c>
    </row>
    <row r="23" spans="1:8" x14ac:dyDescent="0.2">
      <c r="A23" s="43" t="s">
        <v>18</v>
      </c>
      <c r="B23" s="44">
        <v>36</v>
      </c>
      <c r="C23" s="44">
        <v>36</v>
      </c>
      <c r="D23" s="44">
        <v>100</v>
      </c>
      <c r="E23" s="48">
        <f t="shared" si="1"/>
        <v>0.72</v>
      </c>
      <c r="F23" s="46" t="s">
        <v>66</v>
      </c>
      <c r="G23" s="47" t="b">
        <v>1</v>
      </c>
      <c r="H23" s="14">
        <v>0</v>
      </c>
    </row>
    <row r="24" spans="1:8" x14ac:dyDescent="0.2">
      <c r="A24" s="43" t="s">
        <v>19</v>
      </c>
      <c r="B24" s="44">
        <v>65</v>
      </c>
      <c r="C24" s="44">
        <v>8</v>
      </c>
      <c r="D24" s="44">
        <v>101</v>
      </c>
      <c r="E24" s="48">
        <f t="shared" si="1"/>
        <v>0.72277227722772275</v>
      </c>
      <c r="F24" s="46" t="s">
        <v>68</v>
      </c>
      <c r="G24" s="47" t="b">
        <v>1</v>
      </c>
      <c r="H24" s="14">
        <v>1</v>
      </c>
    </row>
    <row r="25" spans="1:8" x14ac:dyDescent="0.2">
      <c r="A25" s="43" t="s">
        <v>15</v>
      </c>
      <c r="B25" s="44">
        <v>55</v>
      </c>
      <c r="C25" s="44">
        <v>2</v>
      </c>
      <c r="D25" s="44">
        <v>81</v>
      </c>
      <c r="E25" s="48">
        <f t="shared" si="0"/>
        <v>0.70370370370370372</v>
      </c>
      <c r="F25" s="46" t="s">
        <v>69</v>
      </c>
      <c r="G25" s="47" t="b">
        <v>1</v>
      </c>
      <c r="H25" s="14">
        <v>1</v>
      </c>
    </row>
    <row r="26" spans="1:8" x14ac:dyDescent="0.2">
      <c r="A26" s="9" t="s">
        <v>23</v>
      </c>
      <c r="B26" s="10">
        <v>41</v>
      </c>
      <c r="C26" s="10">
        <v>23</v>
      </c>
      <c r="D26" s="10">
        <v>112</v>
      </c>
      <c r="E26" s="55">
        <f t="shared" si="0"/>
        <v>0.5714285714285714</v>
      </c>
      <c r="F26" s="52" t="s">
        <v>42</v>
      </c>
      <c r="G26" s="53" t="b">
        <v>0</v>
      </c>
      <c r="H26" s="14">
        <v>0</v>
      </c>
    </row>
    <row r="27" spans="1:8" x14ac:dyDescent="0.2">
      <c r="A27" s="9" t="s">
        <v>24</v>
      </c>
      <c r="B27" s="10">
        <v>63</v>
      </c>
      <c r="C27" s="10">
        <v>25</v>
      </c>
      <c r="D27" s="10">
        <v>144</v>
      </c>
      <c r="E27" s="55">
        <f t="shared" si="0"/>
        <v>0.61111111111111116</v>
      </c>
      <c r="F27" s="52" t="s">
        <v>40</v>
      </c>
      <c r="G27" s="53" t="b">
        <v>1</v>
      </c>
      <c r="H27" s="14">
        <v>0</v>
      </c>
    </row>
    <row r="28" spans="1:8" x14ac:dyDescent="0.2">
      <c r="A28" s="9" t="s">
        <v>25</v>
      </c>
      <c r="B28" s="10">
        <v>94</v>
      </c>
      <c r="C28" s="10">
        <v>38</v>
      </c>
      <c r="D28" s="10">
        <v>159</v>
      </c>
      <c r="E28" s="21">
        <f t="shared" si="0"/>
        <v>0.83018867924528306</v>
      </c>
      <c r="F28" s="52" t="s">
        <v>41</v>
      </c>
      <c r="G28" s="53" t="b">
        <v>1</v>
      </c>
      <c r="H28" s="14">
        <v>1</v>
      </c>
    </row>
    <row r="29" spans="1:8" x14ac:dyDescent="0.2">
      <c r="A29" s="9" t="s">
        <v>26</v>
      </c>
      <c r="B29" s="10">
        <v>99</v>
      </c>
      <c r="C29" s="10">
        <v>31</v>
      </c>
      <c r="D29" s="10">
        <v>167</v>
      </c>
      <c r="E29" s="21">
        <f t="shared" si="0"/>
        <v>0.77844311377245512</v>
      </c>
      <c r="F29" s="52" t="s">
        <v>43</v>
      </c>
      <c r="G29" s="53" t="b">
        <v>1</v>
      </c>
      <c r="H29" s="14">
        <v>1</v>
      </c>
    </row>
    <row r="30" spans="1:8" x14ac:dyDescent="0.2">
      <c r="A30" s="9" t="s">
        <v>27</v>
      </c>
      <c r="B30" s="10">
        <v>52</v>
      </c>
      <c r="C30" s="10">
        <v>16</v>
      </c>
      <c r="D30" s="10">
        <v>98</v>
      </c>
      <c r="E30" s="21">
        <f t="shared" si="0"/>
        <v>0.69387755102040816</v>
      </c>
      <c r="F30" s="52" t="s">
        <v>44</v>
      </c>
      <c r="G30" s="53" t="b">
        <v>1</v>
      </c>
      <c r="H30" s="14">
        <v>1</v>
      </c>
    </row>
    <row r="31" spans="1:8" x14ac:dyDescent="0.2">
      <c r="A31" s="7" t="s">
        <v>31</v>
      </c>
      <c r="B31" s="2">
        <v>40</v>
      </c>
      <c r="C31" s="2">
        <v>40</v>
      </c>
      <c r="D31" s="2">
        <v>108</v>
      </c>
      <c r="E31" s="8">
        <f t="shared" si="0"/>
        <v>0.7407407407407407</v>
      </c>
      <c r="F31" s="35" t="s">
        <v>73</v>
      </c>
      <c r="G31" s="36" t="b">
        <v>1</v>
      </c>
      <c r="H31" s="14">
        <v>0</v>
      </c>
    </row>
    <row r="32" spans="1:8" x14ac:dyDescent="0.2">
      <c r="A32" s="7" t="s">
        <v>32</v>
      </c>
      <c r="B32" s="2">
        <v>42</v>
      </c>
      <c r="C32" s="2">
        <v>42</v>
      </c>
      <c r="D32" s="2">
        <v>154</v>
      </c>
      <c r="E32" s="56">
        <f t="shared" si="0"/>
        <v>0.54545454545454541</v>
      </c>
      <c r="F32" s="35" t="s">
        <v>74</v>
      </c>
      <c r="G32" s="36" t="b">
        <v>0</v>
      </c>
      <c r="H32" s="14">
        <v>0</v>
      </c>
    </row>
    <row r="33" spans="1:8" x14ac:dyDescent="0.2">
      <c r="A33" s="7" t="s">
        <v>30</v>
      </c>
      <c r="B33" s="2">
        <v>27</v>
      </c>
      <c r="C33" s="2">
        <v>27</v>
      </c>
      <c r="D33" s="2">
        <v>90</v>
      </c>
      <c r="E33" s="56">
        <f t="shared" ref="E33" si="2">(B33+C33)/D33</f>
        <v>0.6</v>
      </c>
      <c r="F33" s="35"/>
      <c r="G33" s="36" t="b">
        <v>0</v>
      </c>
      <c r="H33" s="14">
        <v>0</v>
      </c>
    </row>
    <row r="34" spans="1:8" x14ac:dyDescent="0.2">
      <c r="A34" s="7" t="s">
        <v>29</v>
      </c>
      <c r="B34" s="2"/>
      <c r="C34" s="2"/>
      <c r="D34" s="2"/>
      <c r="E34" s="51"/>
      <c r="F34" s="35"/>
      <c r="G34" s="36" t="b">
        <v>0</v>
      </c>
      <c r="H34" s="14"/>
    </row>
    <row r="35" spans="1:8" x14ac:dyDescent="0.2">
      <c r="A35" s="7" t="s">
        <v>33</v>
      </c>
      <c r="B35" s="2"/>
      <c r="C35" s="2"/>
      <c r="D35" s="2"/>
      <c r="E35" s="51"/>
      <c r="F35" s="35"/>
      <c r="G35" s="36" t="b">
        <v>0</v>
      </c>
      <c r="H35" s="14"/>
    </row>
    <row r="36" spans="1:8" x14ac:dyDescent="0.2">
      <c r="A36" s="11" t="s">
        <v>34</v>
      </c>
      <c r="B36" s="12">
        <f>86+35+3</f>
        <v>124</v>
      </c>
      <c r="C36" s="12">
        <v>35</v>
      </c>
      <c r="D36" s="12">
        <v>195</v>
      </c>
      <c r="E36" s="13">
        <f t="shared" ref="E36:E37" si="3">(B36+C36)/D36</f>
        <v>0.81538461538461537</v>
      </c>
      <c r="F36" s="49" t="s">
        <v>38</v>
      </c>
      <c r="G36" s="50" t="b">
        <v>1</v>
      </c>
      <c r="H36" s="14"/>
    </row>
    <row r="37" spans="1:8" x14ac:dyDescent="0.2">
      <c r="A37" s="11" t="s">
        <v>35</v>
      </c>
      <c r="B37" s="12">
        <v>22</v>
      </c>
      <c r="C37" s="12">
        <v>19</v>
      </c>
      <c r="D37" s="12">
        <v>61</v>
      </c>
      <c r="E37" s="57">
        <f t="shared" si="3"/>
        <v>0.67213114754098358</v>
      </c>
      <c r="F37" s="49" t="s">
        <v>39</v>
      </c>
      <c r="G37" s="50" t="b">
        <v>1</v>
      </c>
      <c r="H37" s="14"/>
    </row>
    <row r="38" spans="1:8" x14ac:dyDescent="0.2">
      <c r="A38" s="14"/>
      <c r="B38" s="15"/>
      <c r="C38" s="15"/>
      <c r="D38" s="15"/>
      <c r="E38" s="16"/>
      <c r="F38" s="17"/>
      <c r="G38" s="30" t="b">
        <v>0</v>
      </c>
      <c r="H38" s="14"/>
    </row>
    <row r="39" spans="1:8" x14ac:dyDescent="0.2">
      <c r="A39" s="14"/>
      <c r="B39" s="15"/>
      <c r="C39" s="15"/>
      <c r="D39" s="15"/>
      <c r="E39" s="16"/>
      <c r="F39" s="17"/>
      <c r="G39" s="30" t="b">
        <v>0</v>
      </c>
      <c r="H39" s="14"/>
    </row>
    <row r="40" spans="1:8" x14ac:dyDescent="0.2">
      <c r="A40" s="17"/>
      <c r="B40" s="17"/>
      <c r="C40" s="17"/>
      <c r="D40" s="17"/>
      <c r="E40" s="17"/>
      <c r="F40" s="17"/>
      <c r="G40" s="30" t="b">
        <v>0</v>
      </c>
      <c r="H40" s="14"/>
    </row>
    <row r="41" spans="1:8" x14ac:dyDescent="0.2">
      <c r="A41" s="17"/>
      <c r="B41" s="17"/>
      <c r="C41" s="17"/>
      <c r="D41" s="17"/>
      <c r="E41" s="17"/>
      <c r="F41" s="17"/>
      <c r="G41" s="30" t="b">
        <v>0</v>
      </c>
      <c r="H41" s="14"/>
    </row>
    <row r="42" spans="1:8" ht="15" thickBot="1" x14ac:dyDescent="0.25"/>
    <row r="43" spans="1:8" x14ac:dyDescent="0.2">
      <c r="A43" s="58" t="s">
        <v>75</v>
      </c>
      <c r="B43" s="59">
        <f>SUM(B2:B41)</f>
        <v>1813</v>
      </c>
      <c r="C43" s="59">
        <f>SUM(C2:C41)</f>
        <v>755</v>
      </c>
      <c r="D43" s="59">
        <f>SUM(D2:D41)</f>
        <v>3624</v>
      </c>
      <c r="E43" s="60">
        <f>(B43+C43)/D43</f>
        <v>0.70860927152317876</v>
      </c>
    </row>
    <row r="44" spans="1:8" ht="15" thickBot="1" x14ac:dyDescent="0.25">
      <c r="A44" s="61" t="s">
        <v>76</v>
      </c>
      <c r="B44" s="62" cm="1">
        <f t="array" ref="B44">SUM(B2:B41*G2:G41)</f>
        <v>1585</v>
      </c>
      <c r="C44" s="62" cm="1">
        <f t="array" ref="C44">SUM(C2:C41*G2:G41)</f>
        <v>588</v>
      </c>
      <c r="D44" s="62" cm="1">
        <f t="array" ref="D44">SUM(D2:D41*G2:G41)</f>
        <v>2933</v>
      </c>
      <c r="E44" s="63">
        <f>(B44+C44)/D44</f>
        <v>0.74087964541425166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Zhiqing Xu</dc:creator>
  <cp:lastModifiedBy>Zhiqing Xu</cp:lastModifiedBy>
  <dcterms:created xsi:type="dcterms:W3CDTF">2025-05-09T20:49:39Z</dcterms:created>
  <dcterms:modified xsi:type="dcterms:W3CDTF">2025-05-25T09:46:02Z</dcterms:modified>
</cp:coreProperties>
</file>